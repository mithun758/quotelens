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mputing" sheetId="2" r:id="rId2"/>
    <sheet name="Peripherals &amp; Storage" sheetId="3" r:id="rId3"/>
    <sheet name="Print &amp; Power" sheetId="4" r:id="rId4"/>
    <sheet name="Networking" sheetId="5" r:id="rId5"/>
    <sheet name="Ter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4.83203125" customWidth="1"/>
    <col min="2" max="2" width="18.83203125" customWidth="1"/>
  </cols>
  <sheetData>
    <row r="1">
      <c r="A1" t="str">
        <v>PRAKASH DISTRIBUTORS: QUOTATION SUMMARY</v>
      </c>
    </row>
    <row r="2">
      <c r="A2" t="str">
        <v>Ref: PD/BLR/Q-2026-0412   Date: 22-Sep-2026   Customer: Meridian Diagnostics</v>
      </c>
    </row>
    <row r="4">
      <c r="A4" t="str">
        <v>Sheet</v>
      </c>
      <c r="B4" t="str">
        <v>Amount (₹)</v>
      </c>
    </row>
    <row r="5">
      <c r="A5" t="str">
        <v>Computing</v>
      </c>
      <c r="B5" s="1">
        <v>8419000</v>
      </c>
    </row>
    <row r="6">
      <c r="A6" t="str">
        <v>Peripherals &amp; Storage</v>
      </c>
      <c r="B6" s="1">
        <v>2295300</v>
      </c>
    </row>
    <row r="7">
      <c r="A7" t="str">
        <v>Print &amp; Power</v>
      </c>
      <c r="B7" s="1">
        <v>2188840</v>
      </c>
    </row>
    <row r="8">
      <c r="A8" t="str">
        <v>Networking</v>
      </c>
      <c r="B8" s="1">
        <v>1842983</v>
      </c>
    </row>
    <row r="9">
      <c r="A9" t="str">
        <v>GRAND TOTAL</v>
      </c>
      <c r="B9" s="1">
        <v>14746123</v>
      </c>
    </row>
    <row r="11">
      <c r="A11" t="str">
        <v>GST extra as applicable (Networking sheet already inclusive).</v>
      </c>
    </row>
  </sheetData>
  <mergeCells count="2">
    <mergeCell ref="A1:B1"/>
    <mergeCell ref="A2:B2"/>
  </mergeCells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5.83203125" customWidth="1"/>
    <col min="2" max="2" width="78.83203125" customWidth="1"/>
    <col min="3" max="3" width="7.83203125" customWidth="1"/>
    <col min="4" max="4" width="14.83203125" customWidth="1"/>
    <col min="5" max="5" width="16.83203125" customWidth="1"/>
    <col min="6" max="6" width="34.83203125" customWidth="1"/>
  </cols>
  <sheetData>
    <row r="1">
      <c r="A1" t="str">
        <v>PRAKASH DISTRIBUTORS</v>
      </c>
    </row>
    <row r="2">
      <c r="A2" t="str">
        <v>No. 14, 2nd Cross, SP Road, Bengaluru 560002  |  GSTIN 29AAKCP4821M1ZV  |  sales@prakashdistributors.example</v>
      </c>
    </row>
    <row r="3">
      <c r="A3" t="str">
        <v>QUOTATION   Ref: PD/BLR/Q-2026-0412   Date: 22-Sep-2026   To: Meridian Diagnostics, IT Refresh 2026   Sheet: Computing</v>
      </c>
    </row>
    <row r="5">
      <c r="A5" t="str">
        <v>Sl</v>
      </c>
      <c r="B5" t="str">
        <v>Product / OEM SKU</v>
      </c>
      <c r="C5" t="str">
        <v>Qty</v>
      </c>
      <c r="D5" t="str">
        <v>Price (₹, excl. GST)</v>
      </c>
      <c r="F5" t="str">
        <v>Remarks</v>
      </c>
    </row>
    <row r="6">
      <c r="D6" t="str">
        <v>Unit</v>
      </c>
      <c r="E6" t="str">
        <v>Total</v>
      </c>
    </row>
    <row r="7">
      <c r="B7" t="str">
        <v>LAPTOPS</v>
      </c>
    </row>
    <row r="8">
      <c r="A8">
        <v>1</v>
      </c>
      <c r="B8" t="str">
        <v>Lenovo ThinkPad E14 Gen 6 | Core i5 14th Gen / 16GB / 512GB SSD / 14" WUXGA | 21M7S0KX00 + ThinkPad Essential 14" Backpack | 4X41C12468 (BUNDLE)</v>
      </c>
      <c r="C8">
        <v>60</v>
      </c>
      <c r="D8" s="1">
        <v>72650</v>
      </c>
      <c r="E8" s="1">
        <f>C8*D8</f>
        <v>4359000</v>
      </c>
      <c r="F8" t="str">
        <v>Bundle price: laptop + backpack</v>
      </c>
    </row>
    <row r="9">
      <c r="A9">
        <v>2</v>
      </c>
      <c r="B9" t="str">
        <v>HP EliteBook 840 G11 | Core i7 14th Gen / 32GB DDR5 / 1TB SSD / 14" | 9G1Q4PA</v>
      </c>
      <c r="C9">
        <v>10</v>
      </c>
      <c r="D9" s="1">
        <v>111300</v>
      </c>
      <c r="E9" s="1">
        <f>C9*D9</f>
        <v>1113000</v>
      </c>
    </row>
    <row r="10">
      <c r="B10" t="str">
        <v>Sub-total: Laptops</v>
      </c>
      <c r="E10" s="1">
        <f>SUM(E8:E9)</f>
        <v>5472000</v>
      </c>
    </row>
    <row r="12">
      <c r="B12" t="str">
        <v>DESKTOPS</v>
      </c>
    </row>
    <row r="13">
      <c r="A13">
        <v>3</v>
      </c>
      <c r="B13" t="str">
        <v>HP Pro SFF 400 G9 | Core i5 14th Gen / 16GB / 512GB SSD | 8T2L7PA</v>
      </c>
      <c r="C13">
        <v>40</v>
      </c>
      <c r="D13" s="1">
        <v>54100</v>
      </c>
      <c r="E13" s="1">
        <f>C13*D13</f>
        <v>2164000</v>
      </c>
      <c r="F13" t="str">
        <v>SFF, lab use</v>
      </c>
    </row>
    <row r="14">
      <c r="A14">
        <v>4</v>
      </c>
      <c r="B14" t="str">
        <v>HP Pro Tower 280 G9 | Core i3 14th Gen / 8GB / 256GB SSD | 8T2M1PA</v>
      </c>
      <c r="C14">
        <v>20</v>
      </c>
      <c r="D14" s="1">
        <v>39150</v>
      </c>
      <c r="E14" s="1">
        <f>C14*D14</f>
        <v>783000</v>
      </c>
    </row>
    <row r="15">
      <c r="B15" t="str">
        <v>Sub-total: Desktops</v>
      </c>
      <c r="E15" s="1">
        <f>SUM(E13:E14)</f>
        <v>2947000</v>
      </c>
    </row>
    <row r="17">
      <c r="B17" t="str">
        <v>SHEET TOTAL: Computing</v>
      </c>
      <c r="E17" s="1">
        <f>E10+E15</f>
        <v>8419000</v>
      </c>
    </row>
  </sheetData>
  <mergeCells count="8">
    <mergeCell ref="A1:F1"/>
    <mergeCell ref="A2:F2"/>
    <mergeCell ref="A3:F3"/>
    <mergeCell ref="A5:A6"/>
    <mergeCell ref="B5:B6"/>
    <mergeCell ref="C5:C6"/>
    <mergeCell ref="D5:E5"/>
    <mergeCell ref="F5:F6"/>
  </mergeCells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5.83203125" customWidth="1"/>
    <col min="2" max="2" width="78.83203125" customWidth="1"/>
    <col min="3" max="3" width="7.83203125" customWidth="1"/>
    <col min="4" max="4" width="14.83203125" customWidth="1"/>
    <col min="5" max="5" width="16.83203125" customWidth="1"/>
    <col min="6" max="6" width="34.83203125" customWidth="1"/>
  </cols>
  <sheetData>
    <row r="1">
      <c r="A1" t="str">
        <v>PRAKASH DISTRIBUTORS</v>
      </c>
    </row>
    <row r="2">
      <c r="A2" t="str">
        <v>No. 14, 2nd Cross, SP Road, Bengaluru 560002  |  GSTIN 29AAKCP4821M1ZV  |  sales@prakashdistributors.example</v>
      </c>
    </row>
    <row r="3">
      <c r="A3" t="str">
        <v>QUOTATION   Ref: PD/BLR/Q-2026-0412   Date: 22-Sep-2026   To: Meridian Diagnostics, IT Refresh 2026   Sheet: Peripherals &amp; Storage</v>
      </c>
    </row>
    <row r="5">
      <c r="A5" t="str">
        <v>Sl</v>
      </c>
      <c r="B5" t="str">
        <v>Product / OEM SKU</v>
      </c>
      <c r="C5" t="str">
        <v>Qty</v>
      </c>
      <c r="D5" t="str">
        <v>Price (₹, excl. GST)</v>
      </c>
      <c r="F5" t="str">
        <v>Remarks</v>
      </c>
    </row>
    <row r="6">
      <c r="D6" t="str">
        <v>Unit</v>
      </c>
      <c r="E6" t="str">
        <v>Total</v>
      </c>
    </row>
    <row r="7">
      <c r="B7" t="str">
        <v>DISPLAYS</v>
      </c>
    </row>
    <row r="8">
      <c r="A8">
        <v>1</v>
      </c>
      <c r="B8" t="str">
        <v>Dell P2425H 24" FHD IPS Monitor | 210-BMJB</v>
      </c>
      <c r="C8">
        <v>60</v>
      </c>
      <c r="D8" s="1">
        <v>9500</v>
      </c>
      <c r="E8" s="1">
        <f>C8*D8</f>
        <v>570000</v>
      </c>
    </row>
    <row r="9">
      <c r="A9">
        <v>2</v>
      </c>
      <c r="B9" t="str">
        <v>Dell P2723DE 27" QHD USB-C Monitor | 210-BDZT</v>
      </c>
      <c r="C9">
        <v>10</v>
      </c>
      <c r="D9" s="1">
        <v>21400</v>
      </c>
      <c r="E9" s="1">
        <f>C9*D9</f>
        <v>214000</v>
      </c>
    </row>
    <row r="10">
      <c r="B10" t="str">
        <v>Sub-total: Displays</v>
      </c>
      <c r="E10" s="1">
        <f>SUM(E8:E9)</f>
        <v>784000</v>
      </c>
    </row>
    <row r="12">
      <c r="B12" t="str">
        <v>ACCESSORIES</v>
      </c>
    </row>
    <row r="13">
      <c r="A13">
        <v>3</v>
      </c>
      <c r="B13" t="str">
        <v>ThinkPad Essential 14" Backpack (additional) | 4X41C12468</v>
      </c>
      <c r="C13">
        <v>10</v>
      </c>
      <c r="D13" s="1">
        <v>1250</v>
      </c>
      <c r="E13" s="1">
        <f>C13*D13</f>
        <v>12500</v>
      </c>
      <c r="F13" t="str">
        <v>Balance qty; 60 included in laptop bundle</v>
      </c>
    </row>
    <row r="14">
      <c r="A14">
        <v>4</v>
      </c>
      <c r="B14" t="str">
        <v>Lenovo ThinkPad Universal USB-C Dock | 40AY0090IN</v>
      </c>
      <c r="C14">
        <v>40</v>
      </c>
      <c r="D14" s="1">
        <v>14300</v>
      </c>
      <c r="E14" s="1">
        <f>C14*D14</f>
        <v>572000</v>
      </c>
    </row>
    <row r="15">
      <c r="A15">
        <v>5</v>
      </c>
      <c r="B15" t="str">
        <v>Logitech MK120 Wired Keyboard + Mouse | 920-002586</v>
      </c>
      <c r="C15">
        <v>60</v>
      </c>
      <c r="D15" s="1">
        <v>1160</v>
      </c>
      <c r="E15" s="1">
        <f>C15*D15</f>
        <v>69600</v>
      </c>
    </row>
    <row r="16">
      <c r="A16">
        <v>6</v>
      </c>
      <c r="B16" t="str">
        <v>Logitech MK270 Wireless Combo | 920-004536</v>
      </c>
      <c r="C16">
        <v>70</v>
      </c>
      <c r="D16" s="1">
        <v>2270</v>
      </c>
      <c r="E16" s="1">
        <f>C16*D16</f>
        <v>158900</v>
      </c>
    </row>
    <row r="17">
      <c r="A17">
        <v>7</v>
      </c>
      <c r="B17" t="str">
        <v>Jabra Evolve2 30 USB-A Stereo Headset | 23089-989-979</v>
      </c>
      <c r="C17">
        <v>50</v>
      </c>
      <c r="D17" s="1">
        <v>2550</v>
      </c>
      <c r="E17" s="1">
        <f>C17*D17</f>
        <v>127500</v>
      </c>
    </row>
    <row r="18">
      <c r="A18">
        <v>8</v>
      </c>
      <c r="B18" t="str">
        <v>Logitech C920 HD Pro 1080p Webcam | 960-001055</v>
      </c>
      <c r="C18">
        <v>20</v>
      </c>
      <c r="D18" s="1">
        <v>4550</v>
      </c>
      <c r="E18" s="1">
        <f>C18*D18</f>
        <v>91000</v>
      </c>
    </row>
    <row r="19">
      <c r="A19">
        <v>9</v>
      </c>
      <c r="B19" t="str">
        <v>Belkin High Speed HDMI Cable 1.5m | F3Y017bt1.5M</v>
      </c>
      <c r="C19">
        <v>100</v>
      </c>
      <c r="D19" s="1">
        <v>371</v>
      </c>
      <c r="E19" s="1">
        <f>C19*D19</f>
        <v>37100</v>
      </c>
    </row>
    <row r="20">
      <c r="A20">
        <v>10</v>
      </c>
      <c r="B20" t="str">
        <v>Belkin USB-C to HDMI Adapter 4K | AVC002btBK</v>
      </c>
      <c r="C20">
        <v>50</v>
      </c>
      <c r="D20" s="1">
        <v>1550</v>
      </c>
      <c r="E20" s="1">
        <f>C20*D20</f>
        <v>77500</v>
      </c>
    </row>
    <row r="21">
      <c r="B21" t="str">
        <v>Sub-total: Accessories</v>
      </c>
      <c r="E21" s="1">
        <f>SUM(E13:E20)</f>
        <v>1146100</v>
      </c>
    </row>
    <row r="23">
      <c r="B23" t="str">
        <v>STORAGE</v>
      </c>
    </row>
    <row r="24">
      <c r="A24">
        <v>11</v>
      </c>
      <c r="B24" t="str">
        <v>Samsung T7 Portable SSD 1TB | MU-PC1T0T/WW</v>
      </c>
      <c r="C24">
        <v>20</v>
      </c>
      <c r="D24" s="1">
        <v>9350</v>
      </c>
      <c r="E24" s="1">
        <f>C24*D24</f>
        <v>187000</v>
      </c>
    </row>
    <row r="25">
      <c r="A25">
        <v>12</v>
      </c>
      <c r="B25" t="str">
        <v>Synology DiskStation DS923+ 4-Bay (diskless) | DS923+</v>
      </c>
      <c r="C25">
        <v>3</v>
      </c>
      <c r="D25" s="1">
        <v>59400</v>
      </c>
      <c r="E25" s="1">
        <f>C25*D25</f>
        <v>178200</v>
      </c>
      <c r="F25" t="str">
        <v>One per hub</v>
      </c>
    </row>
    <row r="26">
      <c r="B26" t="str">
        <v>Sub-total: Storage</v>
      </c>
      <c r="E26" s="1">
        <f>SUM(E24:E25)</f>
        <v>365200</v>
      </c>
    </row>
    <row r="28">
      <c r="B28" t="str">
        <v>SHEET TOTAL: Peripherals &amp; Storage</v>
      </c>
      <c r="E28" s="1">
        <f>E10+E21+E26</f>
        <v>2295300</v>
      </c>
    </row>
  </sheetData>
  <mergeCells count="8">
    <mergeCell ref="A1:F1"/>
    <mergeCell ref="A2:F2"/>
    <mergeCell ref="A3:F3"/>
    <mergeCell ref="A5:A6"/>
    <mergeCell ref="B5:B6"/>
    <mergeCell ref="C5:C6"/>
    <mergeCell ref="D5:E5"/>
    <mergeCell ref="F5:F6"/>
  </mergeCells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5.83203125" customWidth="1"/>
    <col min="2" max="2" width="78.83203125" customWidth="1"/>
    <col min="3" max="3" width="7.83203125" customWidth="1"/>
    <col min="4" max="4" width="14.83203125" customWidth="1"/>
    <col min="5" max="5" width="16.83203125" customWidth="1"/>
    <col min="6" max="6" width="34.83203125" customWidth="1"/>
  </cols>
  <sheetData>
    <row r="1">
      <c r="A1" t="str">
        <v>PRAKASH DISTRIBUTORS</v>
      </c>
    </row>
    <row r="2">
      <c r="A2" t="str">
        <v>No. 14, 2nd Cross, SP Road, Bengaluru 560002  |  GSTIN 29AAKCP4821M1ZV  |  sales@prakashdistributors.example</v>
      </c>
    </row>
    <row r="3">
      <c r="A3" t="str">
        <v>QUOTATION   Ref: PD/BLR/Q-2026-0412   Date: 22-Sep-2026   To: Meridian Diagnostics, IT Refresh 2026   Sheet: Print &amp; Power</v>
      </c>
    </row>
    <row r="5">
      <c r="A5" t="str">
        <v>Sl</v>
      </c>
      <c r="B5" t="str">
        <v>Product / OEM SKU</v>
      </c>
      <c r="C5" t="str">
        <v>Qty</v>
      </c>
      <c r="D5" t="str">
        <v>Price (₹, excl. GST)</v>
      </c>
      <c r="F5" t="str">
        <v>Remarks</v>
      </c>
    </row>
    <row r="6">
      <c r="D6" t="str">
        <v>Unit</v>
      </c>
      <c r="E6" t="str">
        <v>Total</v>
      </c>
    </row>
    <row r="7">
      <c r="B7" t="str">
        <v>PRINTING &amp; SCANNING</v>
      </c>
    </row>
    <row r="8">
      <c r="A8">
        <v>1</v>
      </c>
      <c r="B8" t="str">
        <v>HP LaserJet Pro 4003dn Mono A4 Network | 2Z609A</v>
      </c>
      <c r="C8">
        <v>15</v>
      </c>
      <c r="D8" s="1">
        <v>17800</v>
      </c>
      <c r="E8" s="1">
        <f>C8*D8</f>
        <v>267000</v>
      </c>
    </row>
    <row r="9">
      <c r="A9">
        <v>2</v>
      </c>
      <c r="B9" t="str">
        <v>HP Color LaserJet Pro MFP 4303fdw | 5HH67A</v>
      </c>
      <c r="C9">
        <v>5</v>
      </c>
      <c r="D9" s="1">
        <v>45000</v>
      </c>
      <c r="E9" s="1">
        <f>C9*D9</f>
        <v>225000</v>
      </c>
    </row>
    <row r="10">
      <c r="A10">
        <v>3</v>
      </c>
      <c r="B10" t="str">
        <v>TSC TE244 Thermal Transfer Label Printer | 99-065A301</v>
      </c>
      <c r="C10">
        <v>20</v>
      </c>
      <c r="D10" s="1">
        <v>21550</v>
      </c>
      <c r="E10" s="1">
        <f>C10*D10</f>
        <v>431000</v>
      </c>
      <c r="F10" t="str">
        <v>Specimen labels</v>
      </c>
    </row>
    <row r="11">
      <c r="A11">
        <v>4</v>
      </c>
      <c r="B11" t="str">
        <v>Zebra DS2208 2D Imager, USB | DS2208-SR7U2100AZW</v>
      </c>
      <c r="C11">
        <v>40</v>
      </c>
      <c r="D11" s="1">
        <v>6630</v>
      </c>
      <c r="E11" s="1">
        <f>C11*D11</f>
        <v>265200</v>
      </c>
    </row>
    <row r="12">
      <c r="B12" t="str">
        <v>Sub-total: Printing &amp; Scanning</v>
      </c>
      <c r="E12" s="1">
        <f>SUM(E8:E11)</f>
        <v>1188200</v>
      </c>
    </row>
    <row r="14">
      <c r="B14" t="str">
        <v>POWER</v>
      </c>
    </row>
    <row r="15">
      <c r="A15">
        <v>5</v>
      </c>
      <c r="B15" t="str">
        <v>APC Easy UPS On-Line 1kVA | SRV1KI</v>
      </c>
      <c r="C15">
        <v>40</v>
      </c>
      <c r="D15" s="1">
        <v>15500</v>
      </c>
      <c r="E15" s="1">
        <f>C15*D15</f>
        <v>620000</v>
      </c>
    </row>
    <row r="16">
      <c r="A16">
        <v>6</v>
      </c>
      <c r="B16" t="str">
        <v>APC Easy UPS On-Line 3kVA | SRV3KI</v>
      </c>
      <c r="C16">
        <v>6</v>
      </c>
      <c r="D16" s="1">
        <v>53900</v>
      </c>
      <c r="E16" s="1">
        <f>C16*D16</f>
        <v>323400</v>
      </c>
    </row>
    <row r="17">
      <c r="A17">
        <v>7</v>
      </c>
      <c r="B17" t="str">
        <v>Belkin 6-Socket Surge Protector | F9H620</v>
      </c>
      <c r="C17">
        <v>60</v>
      </c>
      <c r="D17" s="1">
        <v>954</v>
      </c>
      <c r="E17" s="1">
        <f>C17*D17</f>
        <v>57240</v>
      </c>
    </row>
    <row r="18">
      <c r="B18" t="str">
        <v>Sub-total: Power</v>
      </c>
      <c r="E18" s="1">
        <f>SUM(E15:E17)</f>
        <v>1000640</v>
      </c>
    </row>
    <row r="20">
      <c r="B20" t="str">
        <v>SHEET TOTAL: Print &amp; Power</v>
      </c>
      <c r="E20" s="1">
        <f>E12+E18</f>
        <v>2188840</v>
      </c>
    </row>
  </sheetData>
  <mergeCells count="8">
    <mergeCell ref="A1:F1"/>
    <mergeCell ref="A2:F2"/>
    <mergeCell ref="A3:F3"/>
    <mergeCell ref="A5:A6"/>
    <mergeCell ref="B5:B6"/>
    <mergeCell ref="C5:C6"/>
    <mergeCell ref="D5:E5"/>
    <mergeCell ref="F5:F6"/>
  </mergeCells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5.83203125" customWidth="1"/>
    <col min="2" max="2" width="78.83203125" customWidth="1"/>
    <col min="3" max="3" width="7.83203125" customWidth="1"/>
    <col min="4" max="4" width="14.83203125" customWidth="1"/>
    <col min="5" max="5" width="16.83203125" customWidth="1"/>
    <col min="6" max="6" width="34.83203125" customWidth="1"/>
  </cols>
  <sheetData>
    <row r="1">
      <c r="A1" t="str">
        <v>PRAKASH DISTRIBUTORS</v>
      </c>
    </row>
    <row r="2">
      <c r="A2" t="str">
        <v>No. 14, 2nd Cross, SP Road, Bengaluru 560002  |  GSTIN 29AAKCP4821M1ZV  |  sales@prakashdistributors.example</v>
      </c>
    </row>
    <row r="3">
      <c r="A3" t="str">
        <v>QUOTATION   Ref: PD/BLR/Q-2026-0412   Date: 22-Sep-2026   To: Meridian Diagnostics, IT Refresh 2026   Sheet: Networking</v>
      </c>
    </row>
    <row r="5">
      <c r="A5" t="str">
        <v>Sl</v>
      </c>
      <c r="B5" t="str">
        <v>Product / OEM SKU</v>
      </c>
      <c r="C5" t="str">
        <v>Qty</v>
      </c>
      <c r="D5" t="str">
        <v>Price (₹, incl. GST @18%)</v>
      </c>
      <c r="F5" t="str">
        <v>Remarks</v>
      </c>
    </row>
    <row r="6">
      <c r="D6" t="str">
        <v>Unit</v>
      </c>
      <c r="E6" t="str">
        <v>Total</v>
      </c>
    </row>
    <row r="7">
      <c r="B7" t="str">
        <v>SWITCHING &amp; WIRELESS</v>
      </c>
    </row>
    <row r="8">
      <c r="A8">
        <v>1</v>
      </c>
      <c r="B8" t="str">
        <v>Aruba Instant On 1930 24G Class4 PoE 4SFP/SFP+ 370W | JL684A</v>
      </c>
      <c r="C8">
        <v>8</v>
      </c>
      <c r="D8" s="1">
        <v>79001</v>
      </c>
      <c r="E8" s="1">
        <f>C8*D8</f>
        <v>632008</v>
      </c>
    </row>
    <row r="9">
      <c r="A9">
        <v>2</v>
      </c>
      <c r="B9" t="str">
        <v>TP-Link TL-SG108 8-Port Gigabit Unmanaged | TL-SG108</v>
      </c>
      <c r="C9">
        <v>20</v>
      </c>
      <c r="D9" s="1">
        <v>4295.2</v>
      </c>
      <c r="E9" s="1">
        <f>C9*D9</f>
        <v>85904</v>
      </c>
    </row>
    <row r="10">
      <c r="A10">
        <v>3</v>
      </c>
      <c r="B10" t="str">
        <v>Aruba Instant On AP22 Wi-Fi 6 Indoor AP | R4W02A</v>
      </c>
      <c r="C10">
        <v>25</v>
      </c>
      <c r="D10" s="1">
        <v>16697</v>
      </c>
      <c r="E10" s="1">
        <f>C10*D10</f>
        <v>417425</v>
      </c>
    </row>
    <row r="11">
      <c r="B11" t="str">
        <v>Sub-total: Switching &amp; Wireless</v>
      </c>
      <c r="E11" s="1">
        <f>SUM(E8:E10)</f>
        <v>1135337</v>
      </c>
    </row>
    <row r="13">
      <c r="B13" t="str">
        <v>SECURITY</v>
      </c>
    </row>
    <row r="14">
      <c r="A14">
        <v>4</v>
      </c>
      <c r="B14" t="str">
        <v>Fortinet FortiGate 40F + 1yr UTP Bundle | FG-40F-BDL-950-12</v>
      </c>
      <c r="C14">
        <v>4</v>
      </c>
      <c r="D14" s="1">
        <v>104076</v>
      </c>
      <c r="E14" s="1">
        <f>C14*D14</f>
        <v>416304</v>
      </c>
      <c r="F14" t="str">
        <v>Incl. 1 year UTP licence</v>
      </c>
    </row>
    <row r="15">
      <c r="B15" t="str">
        <v>Sub-total: Security</v>
      </c>
      <c r="E15" s="1">
        <f>SUM(E14:E14)</f>
        <v>416304</v>
      </c>
    </row>
    <row r="17">
      <c r="B17" t="str">
        <v>PASSIVE</v>
      </c>
    </row>
    <row r="18">
      <c r="A18">
        <v>5</v>
      </c>
      <c r="B18" t="str">
        <v>D-Link Cat6 UTP Patch Cord 2m Grey | NCB-C6UGRYR-2</v>
      </c>
      <c r="C18">
        <v>400</v>
      </c>
      <c r="D18" s="1">
        <v>153.4</v>
      </c>
      <c r="E18" s="1">
        <f>C18*D18</f>
        <v>61360</v>
      </c>
    </row>
    <row r="19">
      <c r="A19">
        <v>6</v>
      </c>
      <c r="B19" t="str">
        <v>D-Link Cat6 UTP Cable 305m Box | NCB-C6UGRYR-305</v>
      </c>
      <c r="C19">
        <v>10</v>
      </c>
      <c r="D19" s="1">
        <v>11434.2</v>
      </c>
      <c r="E19" s="1">
        <f>C19*D19</f>
        <v>114342</v>
      </c>
      <c r="F19" t="str">
        <v>Per box</v>
      </c>
    </row>
    <row r="20">
      <c r="A20">
        <v>7</v>
      </c>
      <c r="B20" t="str">
        <v>Netrack 12U Wall Mount Rack 600x450 | 125-500-120-012</v>
      </c>
      <c r="C20">
        <v>8</v>
      </c>
      <c r="D20" s="1">
        <v>14455</v>
      </c>
      <c r="E20" s="1">
        <f>C20*D20</f>
        <v>115640</v>
      </c>
    </row>
    <row r="21">
      <c r="B21" t="str">
        <v>Sub-total: Passive</v>
      </c>
      <c r="E21" s="1">
        <f>SUM(E18:E20)</f>
        <v>291342</v>
      </c>
    </row>
    <row r="23">
      <c r="B23" t="str">
        <v>SHEET TOTAL: Networking</v>
      </c>
      <c r="E23" s="1">
        <f>E11+E15+E21</f>
        <v>1842983</v>
      </c>
    </row>
    <row r="25">
      <c r="A25" t="str">
        <v>Note: all prices on this sheet are INCLUSIVE of GST @ 18%.</v>
      </c>
    </row>
  </sheetData>
  <mergeCells count="9">
    <mergeCell ref="A1:F1"/>
    <mergeCell ref="A2:F2"/>
    <mergeCell ref="A3:F3"/>
    <mergeCell ref="A5:A6"/>
    <mergeCell ref="B5:B6"/>
    <mergeCell ref="C5:C6"/>
    <mergeCell ref="D5:E5"/>
    <mergeCell ref="F5:F6"/>
    <mergeCell ref="A25:F25"/>
  </mergeCells>
  <ignoredErrors>
    <ignoredError numberStoredAsText="1" sqref="A1:F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8.83203125" customWidth="1"/>
    <col min="2" max="2" width="90.83203125" customWidth="1"/>
  </cols>
  <sheetData>
    <row r="1">
      <c r="A1" t="str">
        <v>TERMS &amp; CONDITIONS</v>
      </c>
    </row>
    <row r="3">
      <c r="A3" t="str">
        <v>Quotation ref</v>
      </c>
      <c r="B3" t="str">
        <v>PD/BLR/Q-2026-0412</v>
      </c>
    </row>
    <row r="4">
      <c r="A4" t="str">
        <v>Date</v>
      </c>
      <c r="B4" t="str">
        <v>22-Sep-2026</v>
      </c>
    </row>
    <row r="5">
      <c r="A5" t="str">
        <v>Validity</v>
      </c>
      <c r="B5" t="str">
        <v>30 days from date of quotation</v>
      </c>
    </row>
    <row r="6">
      <c r="A6" t="str">
        <v>Prices</v>
      </c>
      <c r="B6" t="str">
        <v>Ex-GST; GST extra as applicable. Networking sheet prices include GST @ 18%.</v>
      </c>
    </row>
    <row r="7">
      <c r="A7" t="str">
        <v>Delivery</v>
      </c>
      <c r="B7" t="str">
        <v>Within 14 days of PO to Bengaluru, Chennai and Hyderabad hubs</v>
      </c>
    </row>
    <row r="8">
      <c r="A8" t="str">
        <v>Freight</v>
      </c>
      <c r="B8" t="str">
        <v>Free delivery to all three hubs</v>
      </c>
    </row>
    <row r="9">
      <c r="A9" t="str">
        <v>Warranty</v>
      </c>
      <c r="B9" t="str">
        <v>3 years OEM onsite warranty, service in Bengaluru, Chennai and Hyderabad</v>
      </c>
    </row>
    <row r="10">
      <c r="A10" t="str">
        <v>Payment</v>
      </c>
      <c r="B10" t="str">
        <v>45 days from invoice</v>
      </c>
    </row>
    <row r="12">
      <c r="A12" t="str">
        <v>COMPLIANCE</v>
      </c>
    </row>
    <row r="13">
      <c r="A13" t="str">
        <v>ISO 9001</v>
      </c>
      <c r="B13" t="str">
        <v>Yes, certificate attached</v>
      </c>
    </row>
    <row r="14">
      <c r="A14" t="str">
        <v>OEM authorisation</v>
      </c>
      <c r="B14" t="str">
        <v>Yes, Lenovo authorisation letter attached</v>
      </c>
    </row>
    <row r="15">
      <c r="A15" t="str">
        <v>India warranty, onsite in all 3 cities</v>
      </c>
      <c r="B15" t="str">
        <v>Yes</v>
      </c>
    </row>
    <row r="16">
      <c r="A16" t="str">
        <v>Delivery within 21 days</v>
      </c>
      <c r="B16" t="str">
        <v>Yes, 14 days</v>
      </c>
    </row>
    <row r="17">
      <c r="A17" t="str">
        <v>GST registration</v>
      </c>
      <c r="B17" t="str">
        <v>Yes, GSTIN 29AAKCP4821M1ZV</v>
      </c>
    </row>
    <row r="18">
      <c r="A18" t="str">
        <v>E-waste take-back</v>
      </c>
      <c r="B18" t="str">
        <v>Yes, through authorised recycler</v>
      </c>
    </row>
    <row r="19">
      <c r="A19" t="str">
        <v>Escalation contact</v>
      </c>
      <c r="B19" t="str">
        <v>Ramesh Prakash, Director, +91 80 4000 0000</v>
      </c>
    </row>
    <row r="20">
      <c r="A20" t="str">
        <v>Healthcare references</v>
      </c>
      <c r="B20" t="str">
        <v>Kaveri Diagnostics, Mysuru; Nandi Clinic Group, Bengaluru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Computing</vt:lpstr>
      <vt:lpstr>Peripherals &amp; Storage</vt:lpstr>
      <vt:lpstr>Print &amp; Power</vt:lpstr>
      <vt:lpstr>Networking</vt:lpstr>
      <vt:lpstr>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